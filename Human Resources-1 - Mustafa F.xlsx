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0D513FA2-08F8-4983-9635-806D5D192C4F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<sst xmlns="http://schemas.openxmlformats.org/spreadsheetml/2006/main" count="96" uniqueCount="46">
  <si>
    <t>Payroll</t>
  </si>
  <si>
    <t>Payroll Rules</t>
  </si>
  <si>
    <t>Tax</t>
  </si>
  <si>
    <t>HMRC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</si>
  <si>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</si>
  <si>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</si>
  <si>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</si>
  <si>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</si>
  <si>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</si>
  <si>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</si>
  <si>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</si>
  <si>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</si>
  <si>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</si>
  <si>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</si>
  <si>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</si>
  <si>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</si>
  <si>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</si>
  <si>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</si>
  <si>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</si>
  <si>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</si>
  <si>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</si>
  <si>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</si>
  <si>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</si>
  <si>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</si>
  <si>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n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</si>
  <si>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</si>
  <si>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</si>
  <si>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</si>
  <si>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</si>
  <si>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</si>
  <si>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</si>
  <si>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</si>
  <si>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</si>
  <si>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</si>
  <si>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</si>
  <si>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</si>
  <si>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</si>
  <si>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</si>
  <si>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purchases</t>
  </si>
  <si>
    <t>F</t>
  </si>
  <si>
    <t>Logistics</t>
  </si>
  <si>
    <t>Sales</t>
  </si>
  <si>
    <t>Purchasing</t>
  </si>
  <si>
    <t xml:space="preserve"> 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</si>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</sst>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  <xf numFmtId="167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I16" sqref="I16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  <c r="F4" s="17" t="s">
        <v>3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4">
        <f t="shared" ref="B9:O9" si="0">VLOOKUP(B8,Salary,3,FALSE)/40/52</f>
        <v>18.203846153846154</v>
      </c>
      <c r="C9" s="24">
        <f t="shared" si="0"/>
        <v>12.571153846153846</v>
      </c>
      <c r="D9" s="24">
        <f t="shared" si="0"/>
        <v>12.665865384615385</v>
      </c>
      <c r="E9" s="24">
        <f t="shared" si="0"/>
        <v>11.327884615384615</v>
      </c>
      <c r="F9" s="24">
        <f t="shared" si="0"/>
        <v>9.5615384615384613</v>
      </c>
      <c r="G9" s="24">
        <f t="shared" si="0"/>
        <v>15.82596153846154</v>
      </c>
      <c r="H9" s="24">
        <f t="shared" si="0"/>
        <v>9.1014423076923077</v>
      </c>
      <c r="I9" s="24">
        <f t="shared" si="0"/>
        <v>7.8037499999999991</v>
      </c>
      <c r="J9" s="24">
        <f t="shared" si="0"/>
        <v>18.411538461538463</v>
      </c>
      <c r="K9" s="24">
        <f t="shared" si="0"/>
        <v>13.727884615384616</v>
      </c>
      <c r="L9" s="24">
        <f t="shared" si="0"/>
        <v>13.157692307692308</v>
      </c>
      <c r="M9" s="24">
        <f t="shared" si="0"/>
        <v>10.024038461538462</v>
      </c>
      <c r="N9" s="24">
        <f t="shared" si="0"/>
        <v>9.3004807692307701</v>
      </c>
      <c r="O9" s="24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 t="s">
        <v>24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25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26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27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28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28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29</v>
      </c>
      <c r="B19" s="22">
        <f>B17*B9</f>
        <v>782.76538461538462</v>
      </c>
      <c r="C19" s="22">
        <f t="shared" ref="C19:O19" si="2">C17*C9</f>
        <v>540.55961538461543</v>
      </c>
      <c r="D19" s="22">
        <f t="shared" si="2"/>
        <v>531.96634615384619</v>
      </c>
      <c r="E19" s="22">
        <f t="shared" si="2"/>
        <v>453.11538461538464</v>
      </c>
      <c r="F19" s="22">
        <f t="shared" si="2"/>
        <v>420.7076923076923</v>
      </c>
      <c r="G19" s="22">
        <f t="shared" si="2"/>
        <v>664.69038461538469</v>
      </c>
      <c r="H19" s="22">
        <f t="shared" si="2"/>
        <v>254.84038461538461</v>
      </c>
      <c r="I19" s="22">
        <f t="shared" si="2"/>
        <v>280.93499999999995</v>
      </c>
      <c r="J19" s="22">
        <f t="shared" si="2"/>
        <v>644.40384615384619</v>
      </c>
      <c r="K19" s="22">
        <f t="shared" si="2"/>
        <v>590.29903846153843</v>
      </c>
      <c r="L19" s="22">
        <f t="shared" si="2"/>
        <v>499.99230769230769</v>
      </c>
      <c r="M19" s="22">
        <f t="shared" si="2"/>
        <v>390.9375</v>
      </c>
      <c r="N19" s="22">
        <f t="shared" si="2"/>
        <v>344.11778846153851</v>
      </c>
      <c r="O19" s="22">
        <f t="shared" si="2"/>
        <v>697.11730769230769</v>
      </c>
      <c r="P19" s="28"/>
    </row>
    <row r="20" spans="1:18">
      <c r="A20" t="s">
        <v>2</v>
      </c>
      <c r="B20" s="22">
        <f>B19*$B$4</f>
        <v>250.48492307692308</v>
      </c>
      <c r="C20" s="22">
        <f t="shared" ref="C20:O20" si="3">C19*$B$4</f>
        <v>172.97907692307695</v>
      </c>
      <c r="D20" s="22">
        <f t="shared" si="3"/>
        <v>170.22923076923078</v>
      </c>
      <c r="E20" s="22">
        <f t="shared" si="3"/>
        <v>144.99692307692308</v>
      </c>
      <c r="F20" s="22">
        <f t="shared" si="3"/>
        <v>134.62646153846154</v>
      </c>
      <c r="G20" s="22">
        <f t="shared" si="3"/>
        <v>212.70092307692312</v>
      </c>
      <c r="H20" s="22">
        <f t="shared" si="3"/>
        <v>81.548923076923074</v>
      </c>
      <c r="I20" s="22">
        <f t="shared" si="3"/>
        <v>89.899199999999979</v>
      </c>
      <c r="J20" s="22">
        <f t="shared" si="3"/>
        <v>206.20923076923077</v>
      </c>
      <c r="K20" s="22">
        <f t="shared" si="3"/>
        <v>188.89569230769231</v>
      </c>
      <c r="L20" s="22">
        <f t="shared" si="3"/>
        <v>159.99753846153845</v>
      </c>
      <c r="M20" s="22">
        <f t="shared" si="3"/>
        <v>125.10000000000001</v>
      </c>
      <c r="N20" s="22">
        <f t="shared" si="3"/>
        <v>110.11769230769232</v>
      </c>
      <c r="O20" s="22">
        <f t="shared" si="3"/>
        <v>223.07753846153847</v>
      </c>
    </row>
    <row r="21" spans="1:18">
      <c r="A21" t="s">
        <v>4</v>
      </c>
      <c r="B21" s="22">
        <f>B19*$B$5</f>
        <v>62.62123076923077</v>
      </c>
      <c r="C21" s="22">
        <f t="shared" ref="C21:O21" si="4">C19*$B$5</f>
        <v>43.244769230769236</v>
      </c>
      <c r="D21" s="22">
        <f t="shared" si="4"/>
        <v>42.557307692307695</v>
      </c>
      <c r="E21" s="22">
        <f t="shared" si="4"/>
        <v>36.24923076923077</v>
      </c>
      <c r="F21" s="22">
        <f t="shared" si="4"/>
        <v>33.656615384615385</v>
      </c>
      <c r="G21" s="22">
        <f t="shared" si="4"/>
        <v>53.17523076923078</v>
      </c>
      <c r="H21" s="22">
        <f t="shared" si="4"/>
        <v>20.387230769230769</v>
      </c>
      <c r="I21" s="22">
        <f t="shared" si="4"/>
        <v>22.474799999999995</v>
      </c>
      <c r="J21" s="22">
        <f t="shared" si="4"/>
        <v>51.552307692307693</v>
      </c>
      <c r="K21" s="22">
        <f t="shared" si="4"/>
        <v>47.223923076923079</v>
      </c>
      <c r="L21" s="22">
        <f t="shared" si="4"/>
        <v>39.999384615384614</v>
      </c>
      <c r="M21" s="22">
        <f t="shared" si="4"/>
        <v>31.275000000000002</v>
      </c>
      <c r="N21" s="22">
        <f t="shared" si="4"/>
        <v>27.529423076923081</v>
      </c>
      <c r="O21" s="22">
        <f t="shared" si="4"/>
        <v>55.769384615384617</v>
      </c>
    </row>
    <row r="22" spans="1:18">
      <c r="A22" t="s">
        <v>5</v>
      </c>
      <c r="B22" s="22">
        <f>B19*$B$6</f>
        <v>39.138269230769232</v>
      </c>
      <c r="C22" s="22">
        <f t="shared" ref="C22:O22" si="5">C19*$B$6</f>
        <v>27.027980769230773</v>
      </c>
      <c r="D22" s="22">
        <f t="shared" si="5"/>
        <v>26.598317307692312</v>
      </c>
      <c r="E22" s="22">
        <f t="shared" si="5"/>
        <v>22.655769230769234</v>
      </c>
      <c r="F22" s="22">
        <f t="shared" si="5"/>
        <v>21.035384615384615</v>
      </c>
      <c r="G22" s="22">
        <f t="shared" si="5"/>
        <v>33.234519230769237</v>
      </c>
      <c r="H22" s="22">
        <f t="shared" si="5"/>
        <v>12.74201923076923</v>
      </c>
      <c r="I22" s="22">
        <f t="shared" si="5"/>
        <v>14.046749999999998</v>
      </c>
      <c r="J22" s="22">
        <f t="shared" si="5"/>
        <v>32.220192307692308</v>
      </c>
      <c r="K22" s="22">
        <f t="shared" si="5"/>
        <v>29.514951923076922</v>
      </c>
      <c r="L22" s="22">
        <f t="shared" si="5"/>
        <v>24.999615384615385</v>
      </c>
      <c r="M22" s="22">
        <f t="shared" si="5"/>
        <v>19.546875</v>
      </c>
      <c r="N22" s="22">
        <f t="shared" si="5"/>
        <v>17.205889423076925</v>
      </c>
      <c r="O22" s="22">
        <f t="shared" si="5"/>
        <v>34.855865384615385</v>
      </c>
    </row>
    <row r="23" spans="1:18" ht="15.75" thickBot="1">
      <c r="A23" s="6" t="s">
        <v>30</v>
      </c>
      <c r="B23" s="23">
        <f>B19-B20-B21-B22</f>
        <v>430.52096153846151</v>
      </c>
      <c r="C23" s="23">
        <f t="shared" ref="C23:O23" si="6">C19-C20-C21-C22</f>
        <v>297.30778846153845</v>
      </c>
      <c r="D23" s="23">
        <f t="shared" si="6"/>
        <v>292.58149038461545</v>
      </c>
      <c r="E23" s="23">
        <f t="shared" si="6"/>
        <v>249.21346153846156</v>
      </c>
      <c r="F23" s="23">
        <f t="shared" si="6"/>
        <v>231.38923076923072</v>
      </c>
      <c r="G23" s="23">
        <f t="shared" si="6"/>
        <v>365.57971153846154</v>
      </c>
      <c r="H23" s="23">
        <f t="shared" si="6"/>
        <v>140.16221153846152</v>
      </c>
      <c r="I23" s="23">
        <f t="shared" si="6"/>
        <v>154.51424999999998</v>
      </c>
      <c r="J23" s="23">
        <f t="shared" si="6"/>
        <v>354.42211538461544</v>
      </c>
      <c r="K23" s="23">
        <f t="shared" si="6"/>
        <v>324.66447115384608</v>
      </c>
      <c r="L23" s="23">
        <f t="shared" si="6"/>
        <v>274.99576923076927</v>
      </c>
      <c r="M23" s="23">
        <f t="shared" si="6"/>
        <v>215.01562499999997</v>
      </c>
      <c r="N23" s="23">
        <f t="shared" si="6"/>
        <v>189.26478365384617</v>
      </c>
      <c r="O23" s="23">
        <f t="shared" si="6"/>
        <v>383.4145192307692</v>
      </c>
      <c r="P23" s="18"/>
      <c r="Q23" s="18"/>
      <c r="R23" s="18"/>
    </row>
    <row r="24" spans="1:18" ht="15.75" thickTop="1">
      <c r="B24" s="10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hyperlinks>
    <hyperlink ref="F4" r:id="rId1" xr:uid="{95285FD0-06E6-4CE5-9ACB-F0E0B6EA96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workbookViewId="0">
      <selection activeCell="F16" sqref="F16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31</v>
      </c>
      <c r="E1" s="17"/>
    </row>
    <row r="2" spans="1:10">
      <c r="E2" s="17"/>
    </row>
    <row r="3" spans="1:10" ht="17.25">
      <c r="A3" s="4" t="s">
        <v>32</v>
      </c>
      <c r="B3" s="4" t="s">
        <v>33</v>
      </c>
      <c r="C3" s="4" t="s">
        <v>34</v>
      </c>
      <c r="D3" s="4" t="s">
        <v>35</v>
      </c>
    </row>
    <row r="4" spans="1:10">
      <c r="A4" t="s">
        <v>6</v>
      </c>
      <c r="B4" t="s">
        <v>36</v>
      </c>
      <c r="C4" s="25">
        <v>37864</v>
      </c>
      <c r="D4" t="s">
        <v>37</v>
      </c>
    </row>
    <row r="5" spans="1:10">
      <c r="A5" t="s">
        <v>7</v>
      </c>
      <c r="B5" t="s">
        <v>36</v>
      </c>
      <c r="C5" s="25">
        <v>26148</v>
      </c>
      <c r="D5" t="s">
        <v>38</v>
      </c>
    </row>
    <row r="6" spans="1:10">
      <c r="A6" t="s">
        <v>8</v>
      </c>
      <c r="B6" t="s">
        <v>39</v>
      </c>
      <c r="C6" s="25">
        <v>26345</v>
      </c>
      <c r="D6" t="s">
        <v>40</v>
      </c>
    </row>
    <row r="7" spans="1:10">
      <c r="A7" t="s">
        <v>9</v>
      </c>
      <c r="B7" t="s">
        <v>39</v>
      </c>
      <c r="C7" s="25">
        <v>23562</v>
      </c>
      <c r="D7" t="s">
        <v>41</v>
      </c>
    </row>
    <row r="8" spans="1:10">
      <c r="A8" t="s">
        <v>10</v>
      </c>
      <c r="B8" t="s">
        <v>36</v>
      </c>
      <c r="C8" s="25">
        <v>19888</v>
      </c>
      <c r="D8" t="s">
        <v>40</v>
      </c>
    </row>
    <row r="9" spans="1:10">
      <c r="A9" t="s">
        <v>11</v>
      </c>
      <c r="B9" t="s">
        <v>36</v>
      </c>
      <c r="C9" s="25">
        <v>32918</v>
      </c>
      <c r="D9" t="s">
        <v>42</v>
      </c>
      <c r="J9" s="19"/>
    </row>
    <row r="10" spans="1:10">
      <c r="A10" t="s">
        <v>12</v>
      </c>
      <c r="B10" t="s">
        <v>36</v>
      </c>
      <c r="C10" s="25">
        <v>18931</v>
      </c>
      <c r="D10" t="s">
        <v>41</v>
      </c>
      <c r="J10" s="19"/>
    </row>
    <row r="11" spans="1:10">
      <c r="A11" t="s">
        <v>13</v>
      </c>
      <c r="B11" t="s">
        <v>36</v>
      </c>
      <c r="C11" s="25">
        <v>16231.8</v>
      </c>
      <c r="D11" t="s">
        <v>41</v>
      </c>
      <c r="J11" s="20"/>
    </row>
    <row r="12" spans="1:10">
      <c r="A12" t="s">
        <v>14</v>
      </c>
      <c r="B12" t="s">
        <v>36</v>
      </c>
      <c r="C12" s="25">
        <v>38296</v>
      </c>
      <c r="D12" t="s">
        <v>42</v>
      </c>
    </row>
    <row r="13" spans="1:10">
      <c r="A13" t="s">
        <v>15</v>
      </c>
      <c r="B13" t="s">
        <v>39</v>
      </c>
      <c r="C13" s="25">
        <v>28554</v>
      </c>
      <c r="D13" t="s">
        <v>41</v>
      </c>
      <c r="J13" s="21"/>
    </row>
    <row r="14" spans="1:10">
      <c r="A14" t="s">
        <v>16</v>
      </c>
      <c r="B14" t="s">
        <v>36</v>
      </c>
      <c r="C14" s="25">
        <v>27368</v>
      </c>
      <c r="D14" t="s">
        <v>40</v>
      </c>
      <c r="F14" t="s">
        <v>43</v>
      </c>
      <c r="J14" s="19"/>
    </row>
    <row r="15" spans="1:10">
      <c r="A15" t="s">
        <v>17</v>
      </c>
      <c r="B15" t="s">
        <v>39</v>
      </c>
      <c r="C15" s="25">
        <v>20850</v>
      </c>
      <c r="D15" t="s">
        <v>42</v>
      </c>
    </row>
    <row r="16" spans="1:10">
      <c r="A16" t="s">
        <v>18</v>
      </c>
      <c r="B16" t="s">
        <v>36</v>
      </c>
      <c r="C16" s="25">
        <v>19345</v>
      </c>
      <c r="D16" t="s">
        <v>42</v>
      </c>
    </row>
    <row r="17" spans="1:11">
      <c r="A17" t="s">
        <v>19</v>
      </c>
      <c r="B17" t="s">
        <v>39</v>
      </c>
      <c r="C17" s="25">
        <v>38158</v>
      </c>
      <c r="D17" t="s">
        <v>41</v>
      </c>
    </row>
    <row r="18" spans="1:11">
      <c r="A18" s="6" t="s">
        <v>28</v>
      </c>
      <c r="B18" s="6"/>
      <c r="C18" s="26">
        <f>SUM(C4:C17)</f>
        <v>374458.8</v>
      </c>
      <c r="D18" s="6"/>
      <c r="G18" s="3"/>
      <c r="K18" s="6"/>
    </row>
    <row r="19" spans="1:11">
      <c r="G19" s="3"/>
      <c r="H19" s="24"/>
      <c r="I19" s="24"/>
      <c r="J19" s="24"/>
      <c r="K19" s="27"/>
    </row>
    <row r="20" spans="1:11">
      <c r="A20" s="3" t="s">
        <v>35</v>
      </c>
      <c r="B20" s="3" t="s">
        <v>34</v>
      </c>
      <c r="C20" s="3" t="s">
        <v>44</v>
      </c>
      <c r="F20" s="3"/>
      <c r="G20" s="3"/>
      <c r="K20" s="7"/>
    </row>
    <row r="21" spans="1:11">
      <c r="A21" t="s">
        <v>41</v>
      </c>
      <c r="B21" s="24">
        <f>SUMIF($D$4:$D$17,A21,$C$4:$C$17)</f>
        <v>163300.79999999999</v>
      </c>
      <c r="C21">
        <f>COUNTIF($D$4:$D$17,A21)</f>
        <v>6</v>
      </c>
      <c r="F21" s="3"/>
      <c r="G21" s="24"/>
      <c r="H21" s="24"/>
      <c r="I21" s="24"/>
    </row>
    <row r="22" spans="1:11">
      <c r="A22" t="s">
        <v>42</v>
      </c>
      <c r="B22" s="24">
        <f t="shared" ref="B22:B23" si="0">SUMIF($D$4:$D$17,A22,$C$4:$C$17)</f>
        <v>111409</v>
      </c>
      <c r="C22">
        <f t="shared" ref="C22:C23" si="1">COUNTIF($D$4:$D$17,A22)</f>
        <v>4</v>
      </c>
      <c r="F22" s="3"/>
    </row>
    <row r="23" spans="1:11">
      <c r="A23" t="s">
        <v>40</v>
      </c>
      <c r="B23" s="24">
        <f t="shared" si="0"/>
        <v>73601</v>
      </c>
      <c r="C23">
        <f t="shared" si="1"/>
        <v>3</v>
      </c>
    </row>
    <row r="24" spans="1:11">
      <c r="A24" s="6" t="s">
        <v>45</v>
      </c>
      <c r="B24" s="27">
        <f>SUM(B21:B23)</f>
        <v>348310.8</v>
      </c>
      <c r="C24" s="7">
        <f>SUM(C21:C23)</f>
        <v>13</v>
      </c>
    </row>
    <row r="26" spans="1:11">
      <c r="A26" s="3" t="s">
        <v>33</v>
      </c>
      <c r="B26" s="3" t="s">
        <v>34</v>
      </c>
      <c r="C26" s="3" t="s">
        <v>44</v>
      </c>
    </row>
    <row r="27" spans="1:11">
      <c r="A27" t="s">
        <v>36</v>
      </c>
      <c r="B27" s="24">
        <f>SUMIF($B$4:$B$17,A27,$C$4:$C$17)</f>
        <v>236989.8</v>
      </c>
      <c r="C27">
        <f>COUNTIF(B4:B17,A27)</f>
        <v>9</v>
      </c>
    </row>
    <row r="28" spans="1:11">
      <c r="A28" t="s">
        <v>39</v>
      </c>
      <c r="B28" s="24">
        <f>SUMIF($B$4:$B$17,A28,$C$4:$C$17)</f>
        <v>137469</v>
      </c>
      <c r="C28">
        <f>COUNTIF(B5:B17,A28)</f>
        <v>5</v>
      </c>
    </row>
    <row r="29" spans="1:11">
      <c r="A29" s="6" t="s">
        <v>45</v>
      </c>
      <c r="B29" s="27">
        <f>SUM(B27:B28)</f>
        <v>374458.8</v>
      </c>
      <c r="C29" s="7">
        <f>SUM(C27:C28)</f>
        <v>14</v>
      </c>
    </row>
  </sheetData>
  <protectedRanges>
    <protectedRange sqref="C11" name="Range1"/>
  </protectedRanges>
  <dataValidations count="4">
    <dataValidation allowBlank="1" showInputMessage="1" showErrorMessage="1" sqref="F23:I45 L13:L45 J21:K45 F14:F19 I13:K17 G14:H17" xr:uid="{D030D69D-5A15-421E-BBED-103894BDC004}"/>
    <dataValidation type="list" allowBlank="1" showInputMessage="1" showErrorMessage="1" sqref="D18" xr:uid="{0A43825D-6288-49F7-9D16-55882B9CDE7F}">
      <formula1>"sales, logistics, purchases"</formula1>
    </dataValidation>
    <dataValidation type="date" allowBlank="1" showInputMessage="1" showErrorMessage="1" sqref="E4:E17" xr:uid="{C54E68D9-5A6C-489D-912C-75B1E6387C4B}">
      <formula1>39061</formula1>
      <formula2>39426</formula2>
    </dataValidation>
    <dataValidation type="list" allowBlank="1" showInputMessage="1" showErrorMessage="1" prompt="please enter department " sqref="D4:D17" xr:uid="{4CE37CC1-F6FB-4A55-B5FE-FF967BBD1F70}">
      <formula1>"sales, logistics, purchases"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AF8E21-90E3-4695-8B8E-A7F7EC7E8757}"/>
</file>

<file path=customXml/itemProps2.xml><?xml version="1.0" encoding="utf-8"?>
<ds:datastoreItem xmlns:ds="http://schemas.openxmlformats.org/officeDocument/2006/customXml" ds:itemID="{D046EBA4-A48F-4B87-983F-C1DC2C25D2A8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2026-10-26T13:51:38Z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